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8_{57B73426-B5B2-4661-9A91-0D3C12563A6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ime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1" l="1"/>
  <c r="D15" i="1"/>
  <c r="F14" i="1"/>
  <c r="F11" i="1"/>
  <c r="D11" i="1"/>
  <c r="F10" i="1"/>
  <c r="F7" i="1"/>
  <c r="D7" i="1"/>
  <c r="F6" i="1"/>
  <c r="D17" i="1" l="1"/>
  <c r="F17" i="1"/>
</calcChain>
</file>

<file path=xl/sharedStrings.xml><?xml version="1.0" encoding="utf-8"?>
<sst xmlns="http://schemas.openxmlformats.org/spreadsheetml/2006/main" count="26" uniqueCount="23">
  <si>
    <t>ENGINEERING TIMESHEET – PROJECT #3 VISUALIZE</t>
  </si>
  <si>
    <t>Michael Albracht  |  CIVE 202 – Spring 2026  |  Client: FHWA</t>
  </si>
  <si>
    <t>Billing Rate: $22.00 / hr</t>
  </si>
  <si>
    <t>#</t>
  </si>
  <si>
    <t>Date</t>
  </si>
  <si>
    <t>Task Description</t>
  </si>
  <si>
    <t>Hours</t>
  </si>
  <si>
    <t>Rate</t>
  </si>
  <si>
    <t>Amount</t>
  </si>
  <si>
    <t>Week 1  |  Mar 9 – Mar 15, 2026</t>
  </si>
  <si>
    <t>Week 1 Subtotal</t>
  </si>
  <si>
    <t>$22.00 / hr</t>
  </si>
  <si>
    <t>Week 2  |  Mar 16 – Mar 22, 2026</t>
  </si>
  <si>
    <t>Mar 16</t>
  </si>
  <si>
    <t>Week 2 Subtotal</t>
  </si>
  <si>
    <t>Week 3  |  Mar 23 – Mar 29, 2026</t>
  </si>
  <si>
    <t>Mar 23</t>
  </si>
  <si>
    <t>Week 3 Subtotal</t>
  </si>
  <si>
    <t>PROJECT TOTAL</t>
  </si>
  <si>
    <t>Mar 09/Mar 15</t>
  </si>
  <si>
    <t>Start working on scope of work and code</t>
  </si>
  <si>
    <t>Work on code and set up github</t>
  </si>
  <si>
    <t>Finish code/ACD, full report, save all files, revise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</si>
</sst>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.00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888888"/>
      <name val="Arial"/>
      <family val="2"/>
    </font>
    <font>
      <sz val="10"/>
      <color rgb="FF000000"/>
      <name val="Arial"/>
      <family val="2"/>
    </font>
    <font>
      <sz val="10"/>
      <color rgb="FF444444"/>
      <name val="Arial"/>
      <family val="2"/>
    </font>
    <font>
      <b/>
      <sz val="11"/>
      <color rgb="FF1F3864"/>
      <name val="Arial"/>
      <family val="2"/>
    </font>
    <font>
      <b/>
      <sz val="10"/>
      <color rgb="FF000000"/>
      <name val="Arial"/>
      <family val="2"/>
    </font>
    <font>
      <b/>
      <sz val="12"/>
      <color rgb="FFFFFFFF"/>
      <name val="Arial"/>
      <family val="2"/>
    </font>
    <font>
      <i/>
      <sz val="8"/>
      <color rgb="FF88888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4680"/>
      </patternFill>
    </fill>
    <fill>
      <patternFill patternType="solid">
        <fgColor rgb="FF2E4680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EAF1FB"/>
        <bgColor rgb="FFF2F2F2"/>
      </patternFill>
    </fill>
    <fill>
      <patternFill patternType="solid">
        <fgColor rgb="FF29A65A"/>
        <bgColor rgb="FF008080"/>
      </patternFill>
    </fill>
    <fill>
      <patternFill patternType="solid">
        <fgColor rgb="FFEBF5EB"/>
        <bgColor rgb="FFF2F2F2"/>
      </patternFill>
    </fill>
    <fill>
      <patternFill patternType="solid">
        <fgColor rgb="FFD4860A"/>
        <bgColor rgb="FFFF6600"/>
      </patternFill>
    </fill>
    <fill>
      <patternFill patternType="solid">
        <fgColor rgb="FFFDF2E6"/>
        <bgColor rgb="FFF2F2F2"/>
      </patternFill>
    </fill>
  </fills>
  <borders count="8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medium">
        <color rgb="FF2E75B6"/>
      </left>
      <right style="medium">
        <color rgb="FF2E75B6"/>
      </right>
      <top style="thin">
        <color rgb="FFBBBBBB"/>
      </top>
      <bottom style="thin">
        <color rgb="FFBBBBBB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1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right" vertical="center"/>
    </xf>
    <xf numFmtId="0" fontId="4" fillId="9" borderId="3" xfId="0" applyFont="1" applyFill="1" applyBorder="1" applyAlignment="1">
      <alignment horizontal="right" vertical="center"/>
    </xf>
    <xf numFmtId="0" fontId="4" fillId="9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/>
    <xf numFmtId="0" fontId="4" fillId="2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wrapText="1"/>
    </xf>
    <xf numFmtId="164" fontId="8" fillId="4" borderId="4" xfId="0" applyNumberFormat="1" applyFont="1" applyFill="1" applyBorder="1" applyAlignment="1">
      <alignment horizontal="center" vertical="center"/>
    </xf>
    <xf numFmtId="165" fontId="6" fillId="6" borderId="2" xfId="0" applyNumberFormat="1" applyFont="1" applyFill="1" applyBorder="1" applyAlignment="1">
      <alignment horizontal="center" vertical="center"/>
    </xf>
    <xf numFmtId="165" fontId="9" fillId="6" borderId="2" xfId="0" applyNumberFormat="1" applyFont="1" applyFill="1" applyBorder="1" applyAlignment="1">
      <alignment horizontal="right" vertical="center"/>
    </xf>
    <xf numFmtId="0" fontId="0" fillId="5" borderId="2" xfId="0" applyFill="1" applyBorder="1"/>
    <xf numFmtId="164" fontId="4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 wrapText="1"/>
    </xf>
    <xf numFmtId="165" fontId="6" fillId="8" borderId="2" xfId="0" applyNumberFormat="1" applyFont="1" applyFill="1" applyBorder="1" applyAlignment="1">
      <alignment horizontal="center" vertical="center"/>
    </xf>
    <xf numFmtId="165" fontId="9" fillId="8" borderId="2" xfId="0" applyNumberFormat="1" applyFont="1" applyFill="1" applyBorder="1" applyAlignment="1">
      <alignment horizontal="right" vertical="center"/>
    </xf>
    <xf numFmtId="0" fontId="0" fillId="7" borderId="2" xfId="0" applyFill="1" applyBorder="1"/>
    <xf numFmtId="164" fontId="4" fillId="7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165" fontId="4" fillId="7" borderId="2" xfId="0" applyNumberFormat="1" applyFont="1" applyFill="1" applyBorder="1" applyAlignment="1">
      <alignment horizontal="right" vertical="center"/>
    </xf>
    <xf numFmtId="0" fontId="5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 wrapText="1"/>
    </xf>
    <xf numFmtId="165" fontId="6" fillId="10" borderId="2" xfId="0" applyNumberFormat="1" applyFont="1" applyFill="1" applyBorder="1" applyAlignment="1">
      <alignment horizontal="center" vertical="center"/>
    </xf>
    <xf numFmtId="165" fontId="9" fillId="10" borderId="2" xfId="0" applyNumberFormat="1" applyFont="1" applyFill="1" applyBorder="1" applyAlignment="1">
      <alignment horizontal="right" vertical="center"/>
    </xf>
    <xf numFmtId="0" fontId="0" fillId="9" borderId="2" xfId="0" applyFill="1" applyBorder="1"/>
    <xf numFmtId="164" fontId="4" fillId="9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165" fontId="4" fillId="9" borderId="2" xfId="0" applyNumberFormat="1" applyFont="1" applyFill="1" applyBorder="1" applyAlignment="1">
      <alignment horizontal="right" vertical="center"/>
    </xf>
    <xf numFmtId="0" fontId="0" fillId="2" borderId="5" xfId="0" applyFill="1" applyBorder="1"/>
    <xf numFmtId="164" fontId="10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5" fontId="10" fillId="2" borderId="5" xfId="0" applyNumberFormat="1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right" vertical="center"/>
    </xf>
    <xf numFmtId="0" fontId="4" fillId="9" borderId="7" xfId="0" applyFont="1" applyFill="1" applyBorder="1" applyAlignment="1">
      <alignment horizontal="right" vertical="center"/>
    </xf>
    <xf numFmtId="0" fontId="4" fillId="7" borderId="7" xfId="0" applyFont="1" applyFill="1" applyBorder="1" applyAlignment="1">
      <alignment horizontal="right" vertical="center"/>
    </xf>
    <xf numFmtId="0" fontId="4" fillId="5" borderId="7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DF2E6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EB"/>
      <rgbColor rgb="FFF2F2F2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D4860A"/>
      <rgbColor rgb="FFFF6600"/>
      <rgbColor rgb="FF666699"/>
      <rgbColor rgb="FFAAAAAA"/>
      <rgbColor rgb="FF1F3864"/>
      <rgbColor rgb="FF29A65A"/>
      <rgbColor rgb="FF003300"/>
      <rgbColor rgb="FF333300"/>
      <rgbColor rgb="FF993300"/>
      <rgbColor rgb="FF993366"/>
      <rgbColor rgb="FF2E4680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P17" sqref="P17"/>
    </sheetView>
  </sheetViews>
  <sheetFormatPr defaultColWidth="8.6640625" defaultRowHeight="14.4" x14ac:dyDescent="0.3"/>
  <cols>
    <col min="1" max="1" width="8.5546875" customWidth="1"/>
    <col min="2" max="2" width="14" customWidth="1"/>
    <col min="3" max="3" width="32" customWidth="1"/>
    <col min="4" max="4" width="10" customWidth="1"/>
    <col min="5" max="5" width="12" customWidth="1"/>
    <col min="6" max="6" width="14" customWidth="1"/>
  </cols>
  <sheetData>
    <row r="1" spans="1:6" ht="36" customHeight="1" thickBot="1" x14ac:dyDescent="0.35">
      <c r="A1" s="11" t="s">
        <v>0</v>
      </c>
      <c r="B1" s="11"/>
      <c r="C1" s="11"/>
      <c r="D1" s="11"/>
      <c r="E1" s="11"/>
      <c r="F1" s="11"/>
    </row>
    <row r="2" spans="1:6" ht="18" customHeight="1" x14ac:dyDescent="0.3">
      <c r="A2" s="10" t="s">
        <v>1</v>
      </c>
      <c r="B2" s="10"/>
      <c r="C2" s="10"/>
      <c r="D2" s="9" t="s">
        <v>2</v>
      </c>
      <c r="E2" s="9"/>
      <c r="F2" s="9"/>
    </row>
    <row r="3" spans="1:6" ht="6" customHeight="1" x14ac:dyDescent="0.3">
      <c r="A3" s="12"/>
      <c r="B3" s="12"/>
      <c r="C3" s="12"/>
      <c r="D3" s="12"/>
      <c r="E3" s="12"/>
      <c r="F3" s="12"/>
    </row>
    <row r="4" spans="1:6" ht="21.75" customHeight="1" x14ac:dyDescent="0.3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</row>
    <row r="5" spans="1:6" ht="18" customHeight="1" x14ac:dyDescent="0.3">
      <c r="A5" s="8" t="s">
        <v>9</v>
      </c>
      <c r="B5" s="8"/>
      <c r="C5" s="8"/>
      <c r="D5" s="8"/>
      <c r="E5" s="8"/>
      <c r="F5" s="8"/>
    </row>
    <row r="6" spans="1:6" ht="26.4" customHeight="1" x14ac:dyDescent="0.3">
      <c r="A6" s="14">
        <v>1</v>
      </c>
      <c r="B6" s="15" t="s">
        <v>19</v>
      </c>
      <c r="C6" s="16" t="s">
        <v>20</v>
      </c>
      <c r="D6" s="17">
        <v>2</v>
      </c>
      <c r="E6" s="18">
        <v>22</v>
      </c>
      <c r="F6" s="19">
        <f t="shared" ref="F6" si="0">IF(D6="","",D6*E6)</f>
        <v>44</v>
      </c>
    </row>
    <row r="7" spans="1:6" ht="19.5" customHeight="1" x14ac:dyDescent="0.3">
      <c r="A7" s="7" t="s">
        <v>10</v>
      </c>
      <c r="B7" s="49"/>
      <c r="C7" s="20"/>
      <c r="D7" s="21">
        <f>SUM(D6:D6)</f>
        <v>2</v>
      </c>
      <c r="E7" s="22" t="s">
        <v>11</v>
      </c>
      <c r="F7" s="23">
        <f>SUMPRODUCT((D6:D6&lt;&gt;"")*D6:D6*E6:E6)</f>
        <v>44</v>
      </c>
    </row>
    <row r="8" spans="1:6" ht="6" customHeight="1" x14ac:dyDescent="0.3">
      <c r="A8" s="12"/>
      <c r="B8" s="12"/>
      <c r="C8" s="12"/>
      <c r="D8" s="12"/>
      <c r="E8" s="12"/>
      <c r="F8" s="12"/>
    </row>
    <row r="9" spans="1:6" ht="18" customHeight="1" x14ac:dyDescent="0.3">
      <c r="A9" s="6" t="s">
        <v>12</v>
      </c>
      <c r="B9" s="6"/>
      <c r="C9" s="6"/>
      <c r="D9" s="6"/>
      <c r="E9" s="6"/>
      <c r="F9" s="6"/>
    </row>
    <row r="10" spans="1:6" ht="30.6" customHeight="1" x14ac:dyDescent="0.3">
      <c r="A10" s="24">
        <v>2</v>
      </c>
      <c r="B10" s="25" t="s">
        <v>13</v>
      </c>
      <c r="C10" s="26" t="s">
        <v>21</v>
      </c>
      <c r="D10" s="17">
        <v>4</v>
      </c>
      <c r="E10" s="27">
        <v>22</v>
      </c>
      <c r="F10" s="28">
        <f t="shared" ref="F10" si="1">IF(D10="","",D10*E10)</f>
        <v>88</v>
      </c>
    </row>
    <row r="11" spans="1:6" ht="19.5" customHeight="1" x14ac:dyDescent="0.3">
      <c r="A11" s="5" t="s">
        <v>14</v>
      </c>
      <c r="B11" s="48"/>
      <c r="C11" s="29"/>
      <c r="D11" s="30">
        <f>SUM(D10:D10)</f>
        <v>4</v>
      </c>
      <c r="E11" s="31" t="s">
        <v>11</v>
      </c>
      <c r="F11" s="32">
        <f>SUMPRODUCT((D10:D10&lt;&gt;"")*D10:D10*E10:E10)</f>
        <v>88</v>
      </c>
    </row>
    <row r="12" spans="1:6" ht="6" customHeight="1" x14ac:dyDescent="0.3">
      <c r="A12" s="12"/>
      <c r="B12" s="12"/>
      <c r="C12" s="12"/>
      <c r="D12" s="12"/>
      <c r="E12" s="12"/>
      <c r="F12" s="12"/>
    </row>
    <row r="13" spans="1:6" ht="18" customHeight="1" x14ac:dyDescent="0.3">
      <c r="A13" s="4" t="s">
        <v>15</v>
      </c>
      <c r="B13" s="4"/>
      <c r="C13" s="4"/>
      <c r="D13" s="4"/>
      <c r="E13" s="4"/>
      <c r="F13" s="4"/>
    </row>
    <row r="14" spans="1:6" ht="27.6" customHeight="1" x14ac:dyDescent="0.3">
      <c r="A14" s="33">
        <v>3</v>
      </c>
      <c r="B14" s="34" t="s">
        <v>16</v>
      </c>
      <c r="C14" s="35" t="s">
        <v>22</v>
      </c>
      <c r="D14" s="17">
        <v>10</v>
      </c>
      <c r="E14" s="36">
        <v>22</v>
      </c>
      <c r="F14" s="37">
        <f t="shared" ref="F14" si="2">IF(D14="","",D14*E14)</f>
        <v>220</v>
      </c>
    </row>
    <row r="15" spans="1:6" ht="19.5" customHeight="1" x14ac:dyDescent="0.3">
      <c r="A15" s="3" t="s">
        <v>17</v>
      </c>
      <c r="B15" s="47"/>
      <c r="C15" s="38"/>
      <c r="D15" s="39">
        <f>SUM(D14:D14)</f>
        <v>10</v>
      </c>
      <c r="E15" s="40" t="s">
        <v>11</v>
      </c>
      <c r="F15" s="41">
        <f>SUMPRODUCT((D14:D14&lt;&gt;"")*D14:D14*E14:E14)</f>
        <v>220</v>
      </c>
    </row>
    <row r="16" spans="1:6" ht="6" customHeight="1" thickBot="1" x14ac:dyDescent="0.35">
      <c r="A16" s="12"/>
      <c r="B16" s="12"/>
      <c r="C16" s="12"/>
      <c r="D16" s="12"/>
      <c r="E16" s="12"/>
      <c r="F16" s="12"/>
    </row>
    <row r="17" spans="1:6" ht="25.5" customHeight="1" thickBot="1" x14ac:dyDescent="0.35">
      <c r="A17" s="2" t="s">
        <v>18</v>
      </c>
      <c r="B17" s="46"/>
      <c r="C17" s="42"/>
      <c r="D17" s="43">
        <f>D7+D11+D15</f>
        <v>16</v>
      </c>
      <c r="E17" s="44" t="s">
        <v>11</v>
      </c>
      <c r="F17" s="45">
        <f>F7+F11+F15</f>
        <v>352</v>
      </c>
    </row>
    <row r="19" spans="1:6" ht="13.5" customHeight="1" x14ac:dyDescent="0.3">
      <c r="A19" s="1"/>
      <c r="B19" s="1"/>
      <c r="C19" s="1"/>
      <c r="D19" s="1"/>
      <c r="E19" s="1"/>
      <c r="F19" s="1"/>
    </row>
  </sheetData>
  <mergeCells count="11">
    <mergeCell ref="A19:F19"/>
    <mergeCell ref="A17:B17"/>
    <mergeCell ref="A15:B15"/>
    <mergeCell ref="A7:B7"/>
    <mergeCell ref="A9:F9"/>
    <mergeCell ref="A11:B11"/>
    <mergeCell ref="A13:F13"/>
    <mergeCell ref="A1:F1"/>
    <mergeCell ref="A2:C2"/>
    <mergeCell ref="D2:F2"/>
    <mergeCell ref="A5:F5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Albracht</cp:lastModifiedBy>
  <cp:revision>0</cp:revision>
  <dcterms:created xsi:type="dcterms:W3CDTF">2026-03-31T19:47:37Z</dcterms:created>
  <dcterms:modified xsi:type="dcterms:W3CDTF">2026-03-31T21:22:59Z</dcterms:modified>
  <dc:language>en-US</dc:language>
</cp:coreProperties>
</file>